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aired Comparison &amp; Delta Summa" sheetId="2" state="visible" r:id="rId2"/>
  </sheets>
  <definedNames>
    <definedName name="_xlnm._FilterDatabase" localSheetId="0" hidden="1">'Raw Data'!$A$1:$G$11</definedName>
    <definedName name="_xlnm._FilterDatabase" localSheetId="1" hidden="1">'Paired Comparison &amp; Delta Summa'!$A$1:$N$10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Language</t>
        </is>
      </c>
      <c r="B1" s="1" t="inlineStr">
        <is>
          <t>Language_Type</t>
        </is>
      </c>
      <c r="C1" s="1" t="inlineStr">
        <is>
          <t>Condition</t>
        </is>
      </c>
      <c r="D1" s="1" t="inlineStr">
        <is>
          <t>TTFT_ms</t>
        </is>
      </c>
      <c r="E1" s="1" t="inlineStr">
        <is>
          <t>TFF</t>
        </is>
      </c>
      <c r="F1" s="1" t="inlineStr">
        <is>
          <t>LHI</t>
        </is>
      </c>
      <c r="G1" s="1" t="inlineStr">
        <is>
          <t>PFS</t>
        </is>
      </c>
    </row>
    <row r="2">
      <c r="A2" s="2" t="inlineStr">
        <is>
          <t>Persian</t>
        </is>
      </c>
      <c r="B2" s="2" t="inlineStr">
        <is>
          <t>Non-agglutinative</t>
        </is>
      </c>
      <c r="C2" s="2" t="inlineStr">
        <is>
          <t>Cloud</t>
        </is>
      </c>
      <c r="D2" s="3" t="n">
        <v>310</v>
      </c>
      <c r="E2" s="3" t="n">
        <v>2.1</v>
      </c>
      <c r="F2" s="3" t="n">
        <v>0.72</v>
      </c>
      <c r="G2" s="3" t="n">
        <v>3.2</v>
      </c>
    </row>
    <row r="3">
      <c r="A3" s="4" t="inlineStr">
        <is>
          <t>Persian</t>
        </is>
      </c>
      <c r="B3" s="4" t="inlineStr">
        <is>
          <t>Non-agglutinative</t>
        </is>
      </c>
      <c r="C3" s="4" t="inlineStr">
        <is>
          <t>Edge</t>
        </is>
      </c>
      <c r="D3" s="5" t="n">
        <v>95</v>
      </c>
      <c r="E3" s="5" t="n">
        <v>1.4</v>
      </c>
      <c r="F3" s="5" t="n">
        <v>0.31</v>
      </c>
      <c r="G3" s="5" t="n">
        <v>4.5</v>
      </c>
    </row>
    <row r="4">
      <c r="A4" s="2" t="inlineStr">
        <is>
          <t>Azerbaijani</t>
        </is>
      </c>
      <c r="B4" s="2" t="inlineStr">
        <is>
          <t>Agglutinative</t>
        </is>
      </c>
      <c r="C4" s="2" t="inlineStr">
        <is>
          <t>Cloud</t>
        </is>
      </c>
      <c r="D4" s="3" t="n">
        <v>480</v>
      </c>
      <c r="E4" s="3" t="n">
        <v>3.8</v>
      </c>
      <c r="F4" s="3" t="n">
        <v>0.8100000000000001</v>
      </c>
      <c r="G4" s="3" t="n">
        <v>2.8</v>
      </c>
    </row>
    <row r="5">
      <c r="A5" s="4" t="inlineStr">
        <is>
          <t>Azerbaijani</t>
        </is>
      </c>
      <c r="B5" s="4" t="inlineStr">
        <is>
          <t>Agglutinative</t>
        </is>
      </c>
      <c r="C5" s="4" t="inlineStr">
        <is>
          <t>Edge</t>
        </is>
      </c>
      <c r="D5" s="5" t="n">
        <v>142</v>
      </c>
      <c r="E5" s="5" t="n">
        <v>1.9</v>
      </c>
      <c r="F5" s="5" t="n">
        <v>0.38</v>
      </c>
      <c r="G5" s="5" t="n">
        <v>4.2</v>
      </c>
    </row>
    <row r="6">
      <c r="A6" s="2" t="inlineStr">
        <is>
          <t>Turkish</t>
        </is>
      </c>
      <c r="B6" s="2" t="inlineStr">
        <is>
          <t>Agglutinative</t>
        </is>
      </c>
      <c r="C6" s="2" t="inlineStr">
        <is>
          <t>Cloud</t>
        </is>
      </c>
      <c r="D6" s="3" t="n">
        <v>510</v>
      </c>
      <c r="E6" s="3" t="n">
        <v>3.5</v>
      </c>
      <c r="F6" s="3" t="n">
        <v>0.78</v>
      </c>
      <c r="G6" s="3" t="n">
        <v>3</v>
      </c>
    </row>
    <row r="7">
      <c r="A7" s="4" t="inlineStr">
        <is>
          <t>Turkish</t>
        </is>
      </c>
      <c r="B7" s="4" t="inlineStr">
        <is>
          <t>Agglutinative</t>
        </is>
      </c>
      <c r="C7" s="4" t="inlineStr">
        <is>
          <t>Edge</t>
        </is>
      </c>
      <c r="D7" s="5" t="n">
        <v>128</v>
      </c>
      <c r="E7" s="5" t="n">
        <v>1.7</v>
      </c>
      <c r="F7" s="5" t="n">
        <v>0.34</v>
      </c>
      <c r="G7" s="5" t="n">
        <v>4.4</v>
      </c>
    </row>
    <row r="8">
      <c r="A8" s="2" t="inlineStr">
        <is>
          <t>Russian</t>
        </is>
      </c>
      <c r="B8" s="2" t="inlineStr">
        <is>
          <t>Non-agglutinative</t>
        </is>
      </c>
      <c r="C8" s="2" t="inlineStr">
        <is>
          <t>Cloud</t>
        </is>
      </c>
      <c r="D8" s="3" t="n">
        <v>400</v>
      </c>
      <c r="E8" s="3" t="n">
        <v>2.4</v>
      </c>
      <c r="F8" s="3" t="n">
        <v>0.65</v>
      </c>
      <c r="G8" s="3" t="n">
        <v>3.5</v>
      </c>
    </row>
    <row r="9">
      <c r="A9" s="4" t="inlineStr">
        <is>
          <t>Russian</t>
        </is>
      </c>
      <c r="B9" s="4" t="inlineStr">
        <is>
          <t>Non-agglutinative</t>
        </is>
      </c>
      <c r="C9" s="4" t="inlineStr">
        <is>
          <t>Edge</t>
        </is>
      </c>
      <c r="D9" s="5" t="n">
        <v>105</v>
      </c>
      <c r="E9" s="5" t="n">
        <v>1.5</v>
      </c>
      <c r="F9" s="5" t="n">
        <v>0.39</v>
      </c>
      <c r="G9" s="5" t="n">
        <v>4.1</v>
      </c>
    </row>
    <row r="10">
      <c r="A10" s="2" t="inlineStr">
        <is>
          <t>English</t>
        </is>
      </c>
      <c r="B10" s="2" t="inlineStr">
        <is>
          <t>Non-agglutinative</t>
        </is>
      </c>
      <c r="C10" s="2" t="inlineStr">
        <is>
          <t>Cloud</t>
        </is>
      </c>
      <c r="D10" s="3" t="n">
        <v>460</v>
      </c>
      <c r="E10" s="3" t="n">
        <v>1.1</v>
      </c>
      <c r="F10" s="3" t="n">
        <v>0.21</v>
      </c>
      <c r="G10" s="3" t="n">
        <v>4.8</v>
      </c>
    </row>
    <row r="11">
      <c r="A11" s="4" t="inlineStr">
        <is>
          <t>English</t>
        </is>
      </c>
      <c r="B11" s="4" t="inlineStr">
        <is>
          <t>Non-agglutinative</t>
        </is>
      </c>
      <c r="C11" s="4" t="inlineStr">
        <is>
          <t>Edge</t>
        </is>
      </c>
      <c r="D11" s="5" t="n">
        <v>121</v>
      </c>
      <c r="E11" s="5" t="n">
        <v>1.1</v>
      </c>
      <c r="F11" s="5" t="n">
        <v>0.25</v>
      </c>
      <c r="G11" s="5" t="n">
        <v>4.6</v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</cols>
  <sheetData>
    <row r="1" ht="24" customHeight="1">
      <c r="A1" s="1" t="inlineStr">
        <is>
          <t>Record_Type</t>
        </is>
      </c>
      <c r="B1" s="1" t="inlineStr">
        <is>
          <t>Language</t>
        </is>
      </c>
      <c r="C1" s="1" t="inlineStr">
        <is>
          <t>Language_Type</t>
        </is>
      </c>
      <c r="D1" s="1" t="inlineStr">
        <is>
          <t>Delta TTFT (Cloud - Edge)</t>
        </is>
      </c>
      <c r="E1" s="1" t="inlineStr">
        <is>
          <t>% Reduction TTFT</t>
        </is>
      </c>
      <c r="F1" s="1" t="inlineStr">
        <is>
          <t>Delta TFF</t>
        </is>
      </c>
      <c r="G1" s="1" t="inlineStr">
        <is>
          <t>Delta LHI</t>
        </is>
      </c>
      <c r="H1" s="1" t="inlineStr">
        <is>
          <t>Delta PFS</t>
        </is>
      </c>
      <c r="I1" s="1" t="inlineStr">
        <is>
          <t>Metric</t>
        </is>
      </c>
      <c r="J1" s="1" t="inlineStr">
        <is>
          <t>Mean</t>
        </is>
      </c>
      <c r="K1" s="1" t="inlineStr">
        <is>
          <t>SD</t>
        </is>
      </c>
      <c r="L1" s="1" t="inlineStr">
        <is>
          <t>t-statistic</t>
        </is>
      </c>
      <c r="M1" s="1" t="inlineStr">
        <is>
          <t>p-value</t>
        </is>
      </c>
      <c r="N1" s="1" t="inlineStr">
        <is>
          <t>Cohen's dz</t>
        </is>
      </c>
    </row>
    <row r="2">
      <c r="A2" s="2" t="inlineStr">
        <is>
          <t>Paired Delta</t>
        </is>
      </c>
      <c r="B2" s="2" t="inlineStr">
        <is>
          <t>Persian</t>
        </is>
      </c>
      <c r="C2" s="2" t="inlineStr">
        <is>
          <t>Non-agglutinative</t>
        </is>
      </c>
      <c r="D2" s="2">
        <f>'Raw Data'!D2-'Raw Data'!D3</f>
        <v/>
      </c>
      <c r="E2" s="2">
        <f>('Raw Data'!D2-'Raw Data'!D3)/'Raw Data'!D2</f>
        <v/>
      </c>
      <c r="F2" s="2">
        <f>'Raw Data'!E2-'Raw Data'!E3</f>
        <v/>
      </c>
      <c r="G2" s="2">
        <f>'Raw Data'!F2-'Raw Data'!F3</f>
        <v/>
      </c>
      <c r="H2" s="2">
        <f>'Raw Data'!G2-'Raw Data'!G3</f>
        <v/>
      </c>
      <c r="I2" s="2" t="n"/>
      <c r="J2" s="2" t="n"/>
      <c r="K2" s="2" t="n"/>
      <c r="L2" s="2" t="n"/>
      <c r="M2" s="2" t="n"/>
      <c r="N2" s="2" t="n"/>
    </row>
    <row r="3">
      <c r="A3" s="4" t="inlineStr">
        <is>
          <t>Paired Delta</t>
        </is>
      </c>
      <c r="B3" s="4" t="inlineStr">
        <is>
          <t>Azerbaijani</t>
        </is>
      </c>
      <c r="C3" s="4" t="inlineStr">
        <is>
          <t>Agglutinative</t>
        </is>
      </c>
      <c r="D3" s="4">
        <f>'Raw Data'!D4-'Raw Data'!D5</f>
        <v/>
      </c>
      <c r="E3" s="4">
        <f>('Raw Data'!D4-'Raw Data'!D5)/'Raw Data'!D4</f>
        <v/>
      </c>
      <c r="F3" s="4">
        <f>'Raw Data'!E4-'Raw Data'!E5</f>
        <v/>
      </c>
      <c r="G3" s="4">
        <f>'Raw Data'!F4-'Raw Data'!F5</f>
        <v/>
      </c>
      <c r="H3" s="4">
        <f>'Raw Data'!G4-'Raw Data'!G5</f>
        <v/>
      </c>
      <c r="I3" s="4" t="n"/>
      <c r="J3" s="4" t="n"/>
      <c r="K3" s="4" t="n"/>
      <c r="L3" s="4" t="n"/>
      <c r="M3" s="4" t="n"/>
      <c r="N3" s="4" t="n"/>
    </row>
    <row r="4">
      <c r="A4" s="2" t="inlineStr">
        <is>
          <t>Paired Delta</t>
        </is>
      </c>
      <c r="B4" s="2" t="inlineStr">
        <is>
          <t>Turkish</t>
        </is>
      </c>
      <c r="C4" s="2" t="inlineStr">
        <is>
          <t>Agglutinative</t>
        </is>
      </c>
      <c r="D4" s="2">
        <f>'Raw Data'!D6-'Raw Data'!D7</f>
        <v/>
      </c>
      <c r="E4" s="2">
        <f>('Raw Data'!D6-'Raw Data'!D7)/'Raw Data'!D6</f>
        <v/>
      </c>
      <c r="F4" s="2">
        <f>'Raw Data'!E6-'Raw Data'!E7</f>
        <v/>
      </c>
      <c r="G4" s="2">
        <f>'Raw Data'!F6-'Raw Data'!F7</f>
        <v/>
      </c>
      <c r="H4" s="2">
        <f>'Raw Data'!G6-'Raw Data'!G7</f>
        <v/>
      </c>
      <c r="I4" s="2" t="n"/>
      <c r="J4" s="2" t="n"/>
      <c r="K4" s="2" t="n"/>
      <c r="L4" s="2" t="n"/>
      <c r="M4" s="2" t="n"/>
      <c r="N4" s="2" t="n"/>
    </row>
    <row r="5">
      <c r="A5" s="4" t="inlineStr">
        <is>
          <t>Paired Delta</t>
        </is>
      </c>
      <c r="B5" s="4" t="inlineStr">
        <is>
          <t>Russian</t>
        </is>
      </c>
      <c r="C5" s="4" t="inlineStr">
        <is>
          <t>Non-agglutinative</t>
        </is>
      </c>
      <c r="D5" s="4">
        <f>'Raw Data'!D8-'Raw Data'!D9</f>
        <v/>
      </c>
      <c r="E5" s="4">
        <f>('Raw Data'!D8-'Raw Data'!D9)/'Raw Data'!D8</f>
        <v/>
      </c>
      <c r="F5" s="4">
        <f>'Raw Data'!E8-'Raw Data'!E9</f>
        <v/>
      </c>
      <c r="G5" s="4">
        <f>'Raw Data'!F8-'Raw Data'!F9</f>
        <v/>
      </c>
      <c r="H5" s="4">
        <f>'Raw Data'!G8-'Raw Data'!G9</f>
        <v/>
      </c>
      <c r="I5" s="4" t="n"/>
      <c r="J5" s="4" t="n"/>
      <c r="K5" s="4" t="n"/>
      <c r="L5" s="4" t="n"/>
      <c r="M5" s="4" t="n"/>
      <c r="N5" s="4" t="n"/>
    </row>
    <row r="6">
      <c r="A6" s="2" t="inlineStr">
        <is>
          <t>Paired Delta</t>
        </is>
      </c>
      <c r="B6" s="2" t="inlineStr">
        <is>
          <t>English</t>
        </is>
      </c>
      <c r="C6" s="2" t="inlineStr">
        <is>
          <t>Non-agglutinative</t>
        </is>
      </c>
      <c r="D6" s="2">
        <f>460-121</f>
        <v/>
      </c>
      <c r="E6" s="2">
        <f>(460-121)/460</f>
        <v/>
      </c>
      <c r="F6" s="2">
        <f>1.1-1.1</f>
        <v/>
      </c>
      <c r="G6" s="2">
        <f>0.21-0.25</f>
        <v/>
      </c>
      <c r="H6" s="2">
        <f>4.8-4.6</f>
        <v/>
      </c>
      <c r="I6" s="2" t="n"/>
      <c r="J6" s="2" t="n"/>
      <c r="K6" s="2" t="n"/>
      <c r="L6" s="2" t="n"/>
      <c r="M6" s="2" t="n"/>
      <c r="N6" s="2" t="n"/>
    </row>
    <row r="7">
      <c r="A7" s="4" t="inlineStr">
        <is>
          <t>Inferential Summary</t>
        </is>
      </c>
      <c r="B7" s="4" t="n"/>
      <c r="C7" s="4" t="n"/>
      <c r="D7" s="4" t="n"/>
      <c r="E7" s="4" t="n"/>
      <c r="F7" s="4" t="n"/>
      <c r="G7" s="4" t="n"/>
      <c r="H7" s="4" t="n"/>
      <c r="I7" s="4" t="inlineStr">
        <is>
          <t>TTFT_ms</t>
        </is>
      </c>
      <c r="J7" s="5" t="n">
        <v>313.8</v>
      </c>
      <c r="K7" s="5" t="n">
        <v>79.18333157931662</v>
      </c>
      <c r="L7" s="5" t="n">
        <v>11.09908471394047</v>
      </c>
      <c r="M7" s="5" t="n">
        <v>0.0003748503502031312</v>
      </c>
      <c r="N7" s="5" t="n">
        <v>4.963661581679939</v>
      </c>
    </row>
    <row r="8">
      <c r="A8" s="2" t="inlineStr">
        <is>
          <t>Inferential Summary</t>
        </is>
      </c>
      <c r="B8" s="2" t="n"/>
      <c r="C8" s="2" t="n"/>
      <c r="D8" s="2" t="n"/>
      <c r="E8" s="2" t="n"/>
      <c r="F8" s="2" t="n"/>
      <c r="G8" s="2" t="n"/>
      <c r="H8" s="2" t="n"/>
      <c r="I8" s="2" t="inlineStr">
        <is>
          <t>TFF</t>
        </is>
      </c>
      <c r="J8" s="3" t="n">
        <v>1.06</v>
      </c>
      <c r="K8" s="3" t="n">
        <v>1.094074951728628</v>
      </c>
      <c r="L8" s="3" t="n">
        <v>2.979126964792516</v>
      </c>
      <c r="M8" s="3" t="n">
        <v>0.04077408332370517</v>
      </c>
      <c r="N8" s="3" t="n">
        <v>1.332306081375738</v>
      </c>
    </row>
    <row r="9">
      <c r="A9" s="4" t="inlineStr">
        <is>
          <t>Inferential Summary</t>
        </is>
      </c>
      <c r="B9" s="4" t="n"/>
      <c r="C9" s="4" t="n"/>
      <c r="D9" s="4" t="n"/>
      <c r="E9" s="4" t="n"/>
      <c r="F9" s="4" t="n"/>
      <c r="G9" s="4" t="n"/>
      <c r="H9" s="4" t="n"/>
      <c r="I9" s="4" t="inlineStr">
        <is>
          <t>LHI</t>
        </is>
      </c>
      <c r="J9" s="5" t="n">
        <v>0.3</v>
      </c>
      <c r="K9" s="5" t="n">
        <v>0.2448060456769808</v>
      </c>
      <c r="L9" s="5" t="n">
        <v>3.294913285430167</v>
      </c>
      <c r="M9" s="5" t="n">
        <v>0.03007651912770345</v>
      </c>
      <c r="N9" s="5" t="n">
        <v>1.473530017237805</v>
      </c>
    </row>
    <row r="10">
      <c r="A10" s="2" t="inlineStr">
        <is>
          <t>Inferential Summary</t>
        </is>
      </c>
      <c r="B10" s="2" t="n"/>
      <c r="C10" s="2" t="n"/>
      <c r="D10" s="2" t="n"/>
      <c r="E10" s="2" t="n"/>
      <c r="F10" s="2" t="n"/>
      <c r="G10" s="2" t="n"/>
      <c r="H10" s="2" t="n"/>
      <c r="I10" s="2" t="inlineStr">
        <is>
          <t>PFS</t>
        </is>
      </c>
      <c r="J10" s="3" t="n">
        <v>-0.9</v>
      </c>
      <c r="K10" s="3" t="n">
        <v>0.7924645102463579</v>
      </c>
      <c r="L10" s="3" t="n">
        <v>-2.874944542499729</v>
      </c>
      <c r="M10" s="3" t="n">
        <v>0.04524271822690187</v>
      </c>
      <c r="N10" s="3" t="n">
        <v>-1.285714285714285</v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2026-10-25T04:26:24Z</dcterms:created>
  <dcterms:modified xmlns:dcterms="http://purl.org/dc/terms/" xmlns:xsi="http://www.w3.org/2001/XMLSchema-instance" xsi:type="dcterms:W3CDTF">2026-10-25T04:26:24Z</dcterms:modified>
</cp:coreProperties>
</file>